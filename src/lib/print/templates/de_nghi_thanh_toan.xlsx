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ox\External@Pham Thang\share1\congdoan\"/>
    </mc:Choice>
  </mc:AlternateContent>
  <xr:revisionPtr revIDLastSave="0" documentId="8_{66A58A10-F432-46F9-A330-AC8C3DE12FD4}" xr6:coauthVersionLast="47" xr6:coauthVersionMax="47" xr10:uidLastSave="{00000000-0000-0000-0000-000000000000}"/>
  <bookViews>
    <workbookView xWindow="-90" yWindow="-16320" windowWidth="29040" windowHeight="15720" xr2:uid="{EB43221C-0D1D-4621-9BF1-BC4BEC3523DE}"/>
  </bookViews>
  <sheets>
    <sheet name="Thanh toan Cong Doan" sheetId="1" r:id="rId1"/>
  </sheets>
  <externalReferences>
    <externalReference r:id="rId2"/>
  </externalReferences>
  <definedNames>
    <definedName name="_Fill" hidden="1">#REF!</definedName>
    <definedName name="Date">#REF!</definedName>
    <definedName name="_xlnm.Print_Area" localSheetId="0">'Thanh toan Cong Doan'!$A$1:$I$36</definedName>
    <definedName name="TaxTV">10%</definedName>
    <definedName name="TaxXL">5%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26" i="1" l="1"/>
  <c r="H25" i="1"/>
  <c r="I17" i="1"/>
  <c r="H17" i="1"/>
  <c r="H19" i="1" s="1"/>
  <c r="H24" i="1"/>
  <c r="D4" i="1"/>
  <c r="H18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PTN</author>
  </authors>
  <commentList>
    <comment ref="H17" authorId="0" shapeId="0" xr:uid="{0FEC82BF-2A6E-449C-A38A-100A7C628BC3}">
      <text>
        <r>
          <rPr>
            <b/>
            <sz val="9"/>
            <color indexed="81"/>
            <rFont val="Tahoma"/>
            <family val="2"/>
            <charset val="163"/>
          </rPr>
          <t xml:space="preserve">Instructions:
</t>
        </r>
        <r>
          <rPr>
            <sz val="9"/>
            <color indexed="81"/>
            <rFont val="Tahoma"/>
            <family val="2"/>
            <charset val="163"/>
          </rPr>
          <t>This cell contains formulas which should not be changed.</t>
        </r>
      </text>
    </comment>
  </commentList>
</comments>
</file>

<file path=xl/sharedStrings.xml><?xml version="1.0" encoding="utf-8"?>
<sst xmlns="http://schemas.openxmlformats.org/spreadsheetml/2006/main" count="39" uniqueCount="33">
  <si>
    <r>
      <rPr>
        <b/>
        <sz val="16"/>
        <rFont val="Arial"/>
        <family val="2"/>
      </rPr>
      <t>GIẤY ĐỀ NGHỊ THANH TOÁN</t>
    </r>
    <r>
      <rPr>
        <b/>
        <sz val="14"/>
        <rFont val="Arial"/>
        <family val="2"/>
      </rPr>
      <t xml:space="preserve">
</t>
    </r>
    <r>
      <rPr>
        <sz val="14"/>
        <rFont val="Arial"/>
        <family val="2"/>
      </rPr>
      <t>STATEMENT OF EXPENSES</t>
    </r>
  </si>
  <si>
    <t>Ngày/ Date</t>
  </si>
  <si>
    <t>:</t>
  </si>
  <si>
    <t>Người yêu cầu/ Requestor</t>
  </si>
  <si>
    <t>Nguyễn Thị Thu Trang</t>
  </si>
  <si>
    <t>Branch: Hai Phong</t>
  </si>
  <si>
    <t>Bộ phận/ Department</t>
  </si>
  <si>
    <t>LGW</t>
  </si>
  <si>
    <t>Kindly request to pay following expenses use for ILV's business as details:</t>
  </si>
  <si>
    <t>Unit (đơn vị): VND</t>
  </si>
  <si>
    <t>Item 
(Thứ tự)</t>
  </si>
  <si>
    <r>
      <t xml:space="preserve">Particulars </t>
    </r>
    <r>
      <rPr>
        <i/>
        <sz val="11"/>
        <rFont val="Arial"/>
        <family val="2"/>
      </rPr>
      <t>(Chi tiết chi phí )</t>
    </r>
  </si>
  <si>
    <r>
      <t xml:space="preserve">Expenditure in detail
</t>
    </r>
    <r>
      <rPr>
        <i/>
        <sz val="11"/>
        <rFont val="Arial"/>
        <family val="2"/>
      </rPr>
      <t>(Chi phí chi tiết)</t>
    </r>
  </si>
  <si>
    <r>
      <t xml:space="preserve">Paid to       
</t>
    </r>
    <r>
      <rPr>
        <i/>
        <sz val="11"/>
        <rFont val="Arial"/>
        <family val="2"/>
      </rPr>
      <t>(đối tượng nhận)</t>
    </r>
  </si>
  <si>
    <r>
      <t xml:space="preserve">Paid amount
</t>
    </r>
    <r>
      <rPr>
        <i/>
        <sz val="11"/>
        <rFont val="Arial"/>
        <family val="2"/>
      </rPr>
      <t>(thực trả)</t>
    </r>
  </si>
  <si>
    <r>
      <t xml:space="preserve">Advanced
</t>
    </r>
    <r>
      <rPr>
        <i/>
        <sz val="11"/>
        <rFont val="Arial"/>
        <family val="2"/>
      </rPr>
      <t xml:space="preserve">(đã tạm ứng) </t>
    </r>
  </si>
  <si>
    <t>Total/ Tổng cộng</t>
  </si>
  <si>
    <t>Under Paid (chưa thanh toán)</t>
  </si>
  <si>
    <t>Over Paid (trả lại cho công ty)</t>
  </si>
  <si>
    <t>Phương thức thanh toán:</t>
  </si>
  <si>
    <t>Exchange Rate:</t>
  </si>
  <si>
    <t>Payment method</t>
  </si>
  <si>
    <t>(VND/USD)</t>
  </si>
  <si>
    <r>
      <rPr>
        <b/>
        <sz val="11"/>
        <rFont val="Arial"/>
        <family val="2"/>
      </rPr>
      <t>Người nhận</t>
    </r>
    <r>
      <rPr>
        <b/>
        <i/>
        <sz val="11"/>
        <rFont val="Arial"/>
        <family val="2"/>
      </rPr>
      <t xml:space="preserve">:  </t>
    </r>
  </si>
  <si>
    <t>Chủ TK/ Benificiary</t>
  </si>
  <si>
    <t>Receiver</t>
  </si>
  <si>
    <t>TK số/ Account No.</t>
  </si>
  <si>
    <t>Tại NH/ At bank</t>
  </si>
  <si>
    <t>Người Lập</t>
  </si>
  <si>
    <t>Kế toán Công Đoàn</t>
  </si>
  <si>
    <t>Chủ tịch Công đoàn</t>
  </si>
  <si>
    <t>Vũ Thị Mai</t>
  </si>
  <si>
    <t>Phạm Tiến Thắng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</si>
</sst>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64" formatCode="d/mm/yyyy;@"/>
    <numFmt numFmtId="165" formatCode="_(* #,##0.00_);_(* \(#,##0.00\);_(* &quot;-&quot;??_);_(@_)"/>
    <numFmt numFmtId="166" formatCode="_-* #,##0\ _₫_-;\-* #,##0\ _₫_-;_-* &quot;-&quot;??\ _₫_-;_-@_-"/>
    <numFmt numFmtId="167" formatCode="_(* #,##0_);_(* \(#,##0\);_(* &quot;-&quot;??_);_(@_)"/>
    <numFmt numFmtId="168" formatCode="#,##0_ ;\-#,##0\ "/>
  </numFmts>
  <fonts count="31">
    <font>
      <sz val="11"/>
      <color theme="1"/>
      <name val="Calibri"/>
      <family val="2"/>
      <scheme val="minor"/>
    </font>
    <font>
      <sz val="8"/>
      <color rgb="FF000000"/>
      <name val="Tahoma"/>
      <family val="2"/>
    </font>
    <font>
      <sz val="9"/>
      <name val="Courier New"/>
      <family val="3"/>
    </font>
    <font>
      <b/>
      <i/>
      <sz val="11"/>
      <name val="Calibri"/>
      <family val="2"/>
      <charset val="163"/>
      <scheme val="minor"/>
    </font>
    <font>
      <sz val="11"/>
      <name val="Calibri"/>
      <family val="2"/>
      <charset val="163"/>
      <scheme val="minor"/>
    </font>
    <font>
      <b/>
      <sz val="14"/>
      <name val="Arial"/>
      <family val="2"/>
    </font>
    <font>
      <b/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  <charset val="163"/>
    </font>
    <font>
      <b/>
      <sz val="11"/>
      <name val="Arial"/>
      <family val="2"/>
    </font>
    <font>
      <b/>
      <sz val="13"/>
      <name val="Arial"/>
      <family val="2"/>
    </font>
    <font>
      <b/>
      <i/>
      <sz val="13"/>
      <name val="Arial"/>
      <family val="2"/>
    </font>
    <font>
      <b/>
      <i/>
      <sz val="11"/>
      <name val="Arial"/>
      <family val="2"/>
    </font>
    <font>
      <i/>
      <sz val="14"/>
      <name val="Arial"/>
      <family val="2"/>
    </font>
    <font>
      <i/>
      <sz val="11"/>
      <name val="Arial"/>
      <family val="2"/>
    </font>
    <font>
      <sz val="9"/>
      <name val="Courier New"/>
      <family val="3"/>
      <charset val="163"/>
    </font>
    <font>
      <b/>
      <sz val="12"/>
      <name val="Arial"/>
      <family val="2"/>
    </font>
    <font>
      <sz val="12"/>
      <name val=".VnTime"/>
      <family val="2"/>
    </font>
    <font>
      <sz val="9"/>
      <name val="Arial"/>
      <family val="2"/>
    </font>
    <font>
      <sz val="11"/>
      <color theme="1"/>
      <name val="Arial"/>
      <family val="2"/>
    </font>
    <font>
      <i/>
      <sz val="11"/>
      <color theme="1"/>
      <name val="Calibri"/>
      <family val="2"/>
      <charset val="163"/>
      <scheme val="minor"/>
    </font>
    <font>
      <b/>
      <sz val="1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  <font>
      <sz val="9"/>
      <name val="Calibri"/>
      <family val="2"/>
      <charset val="163"/>
      <scheme val="minor"/>
    </font>
    <font>
      <b/>
      <u/>
      <sz val="9"/>
      <name val="Calibri"/>
      <family val="2"/>
      <charset val="163"/>
      <scheme val="minor"/>
    </font>
    <font>
      <i/>
      <sz val="9"/>
      <name val="Calibri"/>
      <family val="2"/>
      <charset val="163"/>
      <scheme val="minor"/>
    </font>
    <font>
      <i/>
      <sz val="11"/>
      <name val="Calibri"/>
      <family val="2"/>
      <charset val="163"/>
      <scheme val="minor"/>
    </font>
    <font>
      <b/>
      <sz val="9"/>
      <color indexed="81"/>
      <name val="Tahoma"/>
      <family val="2"/>
      <charset val="163"/>
    </font>
    <font>
      <sz val="9"/>
      <color indexed="81"/>
      <name val="Tahoma"/>
      <family val="2"/>
      <charset val="163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9" fillId="0" borderId="0"/>
    <xf numFmtId="165" fontId="16" fillId="0" borderId="0" applyFont="0" applyFill="0" applyBorder="0" applyAlignment="0" applyProtection="0"/>
    <xf numFmtId="0" fontId="18" fillId="0" borderId="0"/>
    <xf numFmtId="41" fontId="2" fillId="0" borderId="0" applyFont="0" applyFill="0" applyBorder="0" applyAlignment="0" applyProtection="0"/>
  </cellStyleXfs>
  <cellXfs count="116">
    <xf numFmtId="0" fontId="0" fillId="0" borderId="0" xfId="0"/>
    <xf numFmtId="0" fontId="3" fillId="0" borderId="0" xfId="1" applyFont="1" applyAlignment="1">
      <alignment horizontal="center"/>
    </xf>
    <xf numFmtId="0" fontId="4" fillId="0" borderId="0" xfId="1" applyFont="1"/>
    <xf numFmtId="0" fontId="5" fillId="0" borderId="0" xfId="1" applyFont="1" applyAlignment="1">
      <alignment horizontal="center" vertical="center" wrapText="1"/>
    </xf>
    <xf numFmtId="0" fontId="5" fillId="0" borderId="0" xfId="1" applyFont="1" applyAlignment="1">
      <alignment horizontal="center" vertical="center"/>
    </xf>
    <xf numFmtId="0" fontId="8" fillId="0" borderId="0" xfId="1" applyFont="1" applyAlignment="1">
      <alignment vertical="center"/>
    </xf>
    <xf numFmtId="0" fontId="5" fillId="0" borderId="1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8" fillId="0" borderId="0" xfId="1" applyFont="1"/>
    <xf numFmtId="0" fontId="8" fillId="0" borderId="0" xfId="2" applyFont="1" applyAlignment="1">
      <alignment horizontal="left"/>
    </xf>
    <xf numFmtId="0" fontId="10" fillId="0" borderId="0" xfId="2" applyFont="1" applyAlignment="1">
      <alignment horizontal="center"/>
    </xf>
    <xf numFmtId="15" fontId="11" fillId="0" borderId="0" xfId="2" applyNumberFormat="1" applyFont="1" applyAlignment="1">
      <alignment horizontal="left"/>
    </xf>
    <xf numFmtId="14" fontId="10" fillId="0" borderId="0" xfId="2" applyNumberFormat="1" applyFont="1" applyAlignment="1">
      <alignment horizontal="left"/>
    </xf>
    <xf numFmtId="164" fontId="8" fillId="0" borderId="0" xfId="1" applyNumberFormat="1" applyFont="1"/>
    <xf numFmtId="0" fontId="5" fillId="0" borderId="0" xfId="2" applyFont="1" applyAlignment="1">
      <alignment horizontal="left"/>
    </xf>
    <xf numFmtId="0" fontId="12" fillId="0" borderId="0" xfId="2" applyFont="1" applyAlignment="1">
      <alignment horizontal="center"/>
    </xf>
    <xf numFmtId="0" fontId="13" fillId="0" borderId="0" xfId="2" applyFont="1" applyAlignment="1">
      <alignment horizontal="center"/>
    </xf>
    <xf numFmtId="164" fontId="8" fillId="0" borderId="0" xfId="1" applyNumberFormat="1" applyFont="1" applyAlignment="1">
      <alignment horizontal="center"/>
    </xf>
    <xf numFmtId="0" fontId="14" fillId="0" borderId="0" xfId="2" applyFont="1" applyAlignment="1">
      <alignment horizontal="left"/>
    </xf>
    <xf numFmtId="0" fontId="15" fillId="0" borderId="0" xfId="2" applyFont="1" applyAlignment="1">
      <alignment horizontal="left"/>
    </xf>
    <xf numFmtId="0" fontId="15" fillId="0" borderId="0" xfId="2" applyFont="1"/>
    <xf numFmtId="0" fontId="8" fillId="0" borderId="2" xfId="1" applyFont="1" applyBorder="1"/>
    <xf numFmtId="0" fontId="8" fillId="0" borderId="2" xfId="1" applyFont="1" applyBorder="1" applyAlignment="1">
      <alignment horizontal="right"/>
    </xf>
    <xf numFmtId="0" fontId="8" fillId="0" borderId="3" xfId="1" applyFont="1" applyBorder="1" applyAlignment="1">
      <alignment horizontal="center" vertical="center" wrapText="1"/>
    </xf>
    <xf numFmtId="0" fontId="8" fillId="0" borderId="4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/>
    </xf>
    <xf numFmtId="0" fontId="8" fillId="0" borderId="6" xfId="1" applyFont="1" applyBorder="1" applyAlignment="1">
      <alignment horizontal="center" vertical="center" wrapText="1"/>
    </xf>
    <xf numFmtId="0" fontId="8" fillId="0" borderId="7" xfId="1" applyFont="1" applyBorder="1" applyAlignment="1">
      <alignment horizontal="center" vertical="center"/>
    </xf>
    <xf numFmtId="0" fontId="8" fillId="0" borderId="0" xfId="1" applyFont="1" applyAlignment="1">
      <alignment horizontal="center" vertical="center"/>
    </xf>
    <xf numFmtId="0" fontId="8" fillId="0" borderId="8" xfId="1" applyFont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8" fillId="0" borderId="9" xfId="1" applyFont="1" applyBorder="1" applyAlignment="1">
      <alignment horizontal="center" vertical="center" wrapText="1"/>
    </xf>
    <xf numFmtId="0" fontId="8" fillId="0" borderId="10" xfId="1" applyFont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 wrapText="1"/>
    </xf>
    <xf numFmtId="0" fontId="8" fillId="0" borderId="11" xfId="1" applyFont="1" applyBorder="1" applyAlignment="1">
      <alignment horizontal="center" vertical="center" wrapText="1"/>
    </xf>
    <xf numFmtId="0" fontId="8" fillId="0" borderId="12" xfId="1" applyFont="1" applyBorder="1" applyAlignment="1">
      <alignment horizontal="left" vertical="center" wrapText="1"/>
    </xf>
    <xf numFmtId="0" fontId="8" fillId="0" borderId="13" xfId="1" applyFont="1" applyBorder="1" applyAlignment="1">
      <alignment horizontal="left" vertical="center" wrapText="1"/>
    </xf>
    <xf numFmtId="0" fontId="8" fillId="0" borderId="14" xfId="1" applyFont="1" applyBorder="1" applyAlignment="1">
      <alignment horizontal="left" vertical="center" wrapText="1"/>
    </xf>
    <xf numFmtId="0" fontId="8" fillId="0" borderId="15" xfId="1" applyFont="1" applyBorder="1" applyAlignment="1">
      <alignment horizontal="center" vertical="center" wrapText="1"/>
    </xf>
    <xf numFmtId="0" fontId="8" fillId="0" borderId="16" xfId="1" applyFont="1" applyBorder="1" applyAlignment="1">
      <alignment horizontal="center" vertical="center" wrapText="1"/>
    </xf>
    <xf numFmtId="166" fontId="8" fillId="0" borderId="17" xfId="3" applyNumberFormat="1" applyFont="1" applyBorder="1" applyAlignment="1">
      <alignment vertical="center"/>
    </xf>
    <xf numFmtId="167" fontId="8" fillId="0" borderId="17" xfId="3" applyNumberFormat="1" applyFont="1" applyBorder="1" applyAlignment="1">
      <alignment vertical="center"/>
    </xf>
    <xf numFmtId="0" fontId="8" fillId="0" borderId="17" xfId="1" applyFont="1" applyBorder="1" applyAlignment="1">
      <alignment horizontal="center" vertical="center" wrapText="1"/>
    </xf>
    <xf numFmtId="0" fontId="8" fillId="0" borderId="17" xfId="1" applyFont="1" applyBorder="1" applyAlignment="1">
      <alignment horizontal="left" vertical="center" wrapText="1"/>
    </xf>
    <xf numFmtId="0" fontId="8" fillId="0" borderId="15" xfId="1" applyFont="1" applyBorder="1" applyAlignment="1">
      <alignment vertical="center" wrapText="1"/>
    </xf>
    <xf numFmtId="0" fontId="8" fillId="0" borderId="16" xfId="1" applyFont="1" applyBorder="1" applyAlignment="1">
      <alignment vertical="center" wrapText="1"/>
    </xf>
    <xf numFmtId="167" fontId="8" fillId="0" borderId="17" xfId="3" applyNumberFormat="1" applyFont="1" applyBorder="1" applyAlignment="1">
      <alignment horizontal="center" vertical="center"/>
    </xf>
    <xf numFmtId="0" fontId="8" fillId="0" borderId="18" xfId="1" applyFont="1" applyBorder="1" applyAlignment="1">
      <alignment horizontal="center" vertical="center" wrapText="1"/>
    </xf>
    <xf numFmtId="0" fontId="8" fillId="0" borderId="18" xfId="1" applyFont="1" applyBorder="1" applyAlignment="1">
      <alignment horizontal="left" vertical="center" wrapText="1"/>
    </xf>
    <xf numFmtId="0" fontId="8" fillId="0" borderId="19" xfId="1" applyFont="1" applyBorder="1" applyAlignment="1">
      <alignment vertical="center" wrapText="1"/>
    </xf>
    <xf numFmtId="0" fontId="8" fillId="0" borderId="20" xfId="1" applyFont="1" applyBorder="1" applyAlignment="1">
      <alignment vertical="center" wrapText="1"/>
    </xf>
    <xf numFmtId="167" fontId="8" fillId="0" borderId="18" xfId="3" applyNumberFormat="1" applyFont="1" applyBorder="1" applyAlignment="1">
      <alignment vertical="center"/>
    </xf>
    <xf numFmtId="3" fontId="8" fillId="0" borderId="18" xfId="1" applyNumberFormat="1" applyFont="1" applyBorder="1" applyAlignment="1">
      <alignment horizontal="center" vertical="center"/>
    </xf>
    <xf numFmtId="0" fontId="10" fillId="0" borderId="9" xfId="1" applyFont="1" applyBorder="1" applyAlignment="1">
      <alignment horizontal="left" vertical="center" wrapText="1" indent="2"/>
    </xf>
    <xf numFmtId="0" fontId="10" fillId="0" borderId="21" xfId="1" applyFont="1" applyBorder="1" applyAlignment="1">
      <alignment horizontal="left" vertical="center" wrapText="1" indent="2"/>
    </xf>
    <xf numFmtId="0" fontId="10" fillId="0" borderId="10" xfId="1" applyFont="1" applyBorder="1" applyAlignment="1">
      <alignment horizontal="left" vertical="center" wrapText="1" indent="2"/>
    </xf>
    <xf numFmtId="167" fontId="10" fillId="0" borderId="1" xfId="3" applyNumberFormat="1" applyFont="1" applyBorder="1" applyAlignment="1">
      <alignment horizontal="center" vertical="center" wrapText="1"/>
    </xf>
    <xf numFmtId="0" fontId="8" fillId="0" borderId="9" xfId="1" applyFont="1" applyBorder="1" applyAlignment="1">
      <alignment horizontal="left" vertical="center" indent="2"/>
    </xf>
    <xf numFmtId="0" fontId="8" fillId="0" borderId="21" xfId="1" applyFont="1" applyBorder="1" applyAlignment="1">
      <alignment horizontal="left" vertical="center" indent="2"/>
    </xf>
    <xf numFmtId="0" fontId="8" fillId="0" borderId="10" xfId="1" applyFont="1" applyBorder="1" applyAlignment="1">
      <alignment horizontal="left" vertical="center" indent="2"/>
    </xf>
    <xf numFmtId="167" fontId="17" fillId="0" borderId="9" xfId="3" applyNumberFormat="1" applyFont="1" applyBorder="1" applyAlignment="1">
      <alignment horizontal="center" vertical="center" wrapText="1"/>
    </xf>
    <xf numFmtId="167" fontId="17" fillId="0" borderId="10" xfId="3" applyNumberFormat="1" applyFont="1" applyBorder="1" applyAlignment="1">
      <alignment horizontal="center" vertical="center" wrapText="1"/>
    </xf>
    <xf numFmtId="41" fontId="10" fillId="0" borderId="9" xfId="1" applyNumberFormat="1" applyFont="1" applyBorder="1" applyAlignment="1">
      <alignment vertical="center" wrapText="1"/>
    </xf>
    <xf numFmtId="41" fontId="10" fillId="0" borderId="10" xfId="1" applyNumberFormat="1" applyFont="1" applyBorder="1" applyAlignment="1">
      <alignment vertical="center" wrapText="1"/>
    </xf>
    <xf numFmtId="0" fontId="10" fillId="0" borderId="0" xfId="1" applyFont="1" applyAlignment="1">
      <alignment horizontal="left" vertical="center"/>
    </xf>
    <xf numFmtId="0" fontId="8" fillId="0" borderId="0" xfId="1" applyFont="1" applyAlignment="1">
      <alignment horizontal="left" vertical="center"/>
    </xf>
    <xf numFmtId="168" fontId="10" fillId="0" borderId="0" xfId="1" applyNumberFormat="1" applyFont="1" applyAlignment="1">
      <alignment vertical="center"/>
    </xf>
    <xf numFmtId="0" fontId="10" fillId="0" borderId="4" xfId="1" applyFont="1" applyBorder="1"/>
    <xf numFmtId="0" fontId="8" fillId="0" borderId="5" xfId="1" applyFont="1" applyBorder="1"/>
    <xf numFmtId="0" fontId="8" fillId="0" borderId="22" xfId="1" applyFont="1" applyBorder="1"/>
    <xf numFmtId="0" fontId="19" fillId="0" borderId="4" xfId="4" applyFont="1" applyBorder="1"/>
    <xf numFmtId="0" fontId="19" fillId="0" borderId="5" xfId="4" applyFont="1" applyBorder="1"/>
    <xf numFmtId="0" fontId="8" fillId="0" borderId="4" xfId="1" applyFont="1" applyBorder="1" applyAlignment="1">
      <alignment horizontal="left" indent="1"/>
    </xf>
    <xf numFmtId="167" fontId="8" fillId="0" borderId="22" xfId="3" applyNumberFormat="1" applyFont="1" applyBorder="1" applyAlignment="1">
      <alignment horizontal="left"/>
    </xf>
    <xf numFmtId="0" fontId="19" fillId="0" borderId="0" xfId="4" applyFont="1"/>
    <xf numFmtId="0" fontId="15" fillId="0" borderId="7" xfId="1" applyFont="1" applyBorder="1"/>
    <xf numFmtId="0" fontId="8" fillId="0" borderId="23" xfId="1" applyFont="1" applyBorder="1"/>
    <xf numFmtId="0" fontId="8" fillId="0" borderId="7" xfId="1" applyFont="1" applyBorder="1"/>
    <xf numFmtId="0" fontId="8" fillId="0" borderId="7" xfId="1" applyFont="1" applyBorder="1" applyAlignment="1">
      <alignment horizontal="left" indent="1"/>
    </xf>
    <xf numFmtId="0" fontId="10" fillId="0" borderId="24" xfId="1" applyFont="1" applyBorder="1"/>
    <xf numFmtId="0" fontId="8" fillId="0" borderId="25" xfId="1" applyFont="1" applyBorder="1"/>
    <xf numFmtId="0" fontId="8" fillId="0" borderId="24" xfId="1" applyFont="1" applyBorder="1"/>
    <xf numFmtId="0" fontId="13" fillId="0" borderId="4" xfId="1" applyFont="1" applyBorder="1"/>
    <xf numFmtId="0" fontId="8" fillId="0" borderId="4" xfId="1" applyFont="1" applyBorder="1" applyAlignment="1">
      <alignment horizontal="left" indent="1"/>
    </xf>
    <xf numFmtId="0" fontId="8" fillId="0" borderId="5" xfId="1" applyFont="1" applyBorder="1" applyAlignment="1">
      <alignment horizontal="left" indent="1"/>
    </xf>
    <xf numFmtId="0" fontId="8" fillId="0" borderId="5" xfId="1" applyFont="1" applyBorder="1" applyAlignment="1">
      <alignment horizontal="left" wrapText="1"/>
    </xf>
    <xf numFmtId="0" fontId="8" fillId="0" borderId="22" xfId="1" applyFont="1" applyBorder="1" applyAlignment="1">
      <alignment horizontal="left" wrapText="1"/>
    </xf>
    <xf numFmtId="0" fontId="15" fillId="0" borderId="7" xfId="1" quotePrefix="1" applyFont="1" applyBorder="1"/>
    <xf numFmtId="0" fontId="10" fillId="0" borderId="0" xfId="1" applyFont="1"/>
    <xf numFmtId="0" fontId="8" fillId="0" borderId="7" xfId="1" applyFont="1" applyBorder="1" applyAlignment="1">
      <alignment horizontal="left" indent="1"/>
    </xf>
    <xf numFmtId="0" fontId="8" fillId="0" borderId="0" xfId="1" applyFont="1" applyAlignment="1">
      <alignment horizontal="left" indent="1"/>
    </xf>
    <xf numFmtId="0" fontId="8" fillId="0" borderId="0" xfId="1" quotePrefix="1" applyFont="1" applyAlignment="1">
      <alignment horizontal="left"/>
    </xf>
    <xf numFmtId="2" fontId="10" fillId="0" borderId="23" xfId="1" applyNumberFormat="1" applyFont="1" applyBorder="1" applyAlignment="1">
      <alignment horizontal="center"/>
    </xf>
    <xf numFmtId="41" fontId="10" fillId="0" borderId="0" xfId="5" applyFont="1" applyBorder="1"/>
    <xf numFmtId="0" fontId="8" fillId="0" borderId="2" xfId="1" applyFont="1" applyBorder="1" applyAlignment="1">
      <alignment horizontal="left" indent="1"/>
    </xf>
    <xf numFmtId="0" fontId="20" fillId="0" borderId="0" xfId="1" applyFont="1" applyAlignment="1">
      <alignment horizontal="center" vertical="center"/>
    </xf>
    <xf numFmtId="0" fontId="21" fillId="0" borderId="0" xfId="1" applyFont="1" applyAlignment="1">
      <alignment horizontal="center" vertical="center"/>
    </xf>
    <xf numFmtId="0" fontId="4" fillId="0" borderId="0" xfId="1" applyFont="1" applyAlignment="1">
      <alignment horizontal="center"/>
    </xf>
    <xf numFmtId="0" fontId="22" fillId="0" borderId="0" xfId="1" applyFont="1"/>
    <xf numFmtId="0" fontId="23" fillId="0" borderId="0" xfId="1" applyFont="1" applyAlignment="1">
      <alignment horizontal="left"/>
    </xf>
    <xf numFmtId="0" fontId="24" fillId="0" borderId="0" xfId="1" applyFont="1" applyAlignment="1">
      <alignment vertical="center"/>
    </xf>
    <xf numFmtId="0" fontId="23" fillId="0" borderId="0" xfId="1" applyFont="1" applyAlignment="1">
      <alignment vertical="center"/>
    </xf>
    <xf numFmtId="0" fontId="25" fillId="0" borderId="0" xfId="1" applyFont="1"/>
    <xf numFmtId="0" fontId="26" fillId="0" borderId="0" xfId="1" applyFont="1"/>
    <xf numFmtId="0" fontId="27" fillId="0" borderId="0" xfId="1" applyFont="1"/>
    <xf numFmtId="0" fontId="28" fillId="0" borderId="0" xfId="1" applyFont="1"/>
    <xf numFmtId="0" fontId="25" fillId="0" borderId="0" xfId="1" applyFont="1" applyAlignment="1">
      <alignment horizontal="center" vertical="center"/>
    </xf>
    <xf numFmtId="0" fontId="23" fillId="0" borderId="0" xfId="1" applyFont="1" applyAlignment="1">
      <alignment horizontal="center" vertical="center"/>
    </xf>
    <xf numFmtId="0" fontId="0" fillId="0" borderId="3" xfId="1" applyFont="1" applyBorder="1" applyAlignment="1">
      <alignment horizontal="center" vertical="center"/>
    </xf>
    <xf numFmtId="0" fontId="21" fillId="0" borderId="0" xfId="1" applyFont="1" applyAlignment="1">
      <alignment horizontal="center" vertical="center"/>
    </xf>
    <xf numFmtId="0" fontId="21" fillId="0" borderId="0" xfId="1" applyFont="1" applyAlignment="1">
      <alignment horizontal="center" vertical="center" shrinkToFit="1"/>
    </xf>
    <xf numFmtId="0" fontId="0" fillId="0" borderId="8" xfId="1" applyFont="1" applyBorder="1" applyAlignment="1">
      <alignment horizontal="center" vertical="center"/>
    </xf>
    <xf numFmtId="0" fontId="23" fillId="0" borderId="8" xfId="1" applyFont="1" applyBorder="1" applyAlignment="1">
      <alignment horizontal="center" vertical="center"/>
    </xf>
    <xf numFmtId="0" fontId="4" fillId="0" borderId="3" xfId="1" applyFont="1" applyBorder="1" applyAlignment="1">
      <alignment horizontal="center"/>
    </xf>
    <xf numFmtId="0" fontId="4" fillId="0" borderId="6" xfId="1" applyFont="1" applyBorder="1" applyAlignment="1">
      <alignment horizontal="center"/>
    </xf>
    <xf numFmtId="0" fontId="4" fillId="0" borderId="8" xfId="1" applyFont="1" applyBorder="1" applyAlignment="1">
      <alignment horizontal="center"/>
    </xf>
  </cellXfs>
  <cellStyles count="6">
    <cellStyle name="Comma [0] 3" xfId="5" xr:uid="{1DE15BFC-5BDF-4372-ADEE-A37C1F7588FB}"/>
    <cellStyle name="Comma 7" xfId="3" xr:uid="{1A2AC254-5A07-4059-87B0-B4D3280F438B}"/>
    <cellStyle name="Normal" xfId="0" builtinId="0"/>
    <cellStyle name="Normal 2 3" xfId="2" xr:uid="{20231437-F76D-4F9C-BFD1-780C1BA67D4B}"/>
    <cellStyle name="Normal 3" xfId="1" xr:uid="{8B019CF5-254D-4257-BF60-99CD0B2C142A}"/>
    <cellStyle name="Normal 4" xfId="4" xr:uid="{62AB09B9-B3D8-4E62-A0C8-DC0894A4FF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1205586</xdr:colOff>
      <xdr:row>0</xdr:row>
      <xdr:rowOff>74369</xdr:rowOff>
    </xdr:from>
    <xdr:to>
      <xdr:col>7</xdr:col>
      <xdr:colOff>1266825</xdr:colOff>
      <xdr:row>0</xdr:row>
      <xdr:rowOff>1038225</xdr:rowOff>
    </xdr:to>
    <xdr:sp macro="" textlink="">
      <xdr:nvSpPr>
        <xdr:cNvPr id="2" name="TextBox 4">
          <a:extLst>
            <a:ext uri="{FF2B5EF4-FFF2-40B4-BE49-F238E27FC236}">
              <a16:creationId xmlns:a16="http://schemas.microsoft.com/office/drawing/2014/main" id="{51D7264A-D843-4E81-987C-665B81E025F1}"/>
            </a:ext>
          </a:extLst>
        </xdr:cNvPr>
        <xdr:cNvSpPr txBox="1">
          <a:spLocks noChangeArrowheads="1"/>
        </xdr:cNvSpPr>
      </xdr:nvSpPr>
      <xdr:spPr bwMode="auto">
        <a:xfrm>
          <a:off x="1830426" y="74369"/>
          <a:ext cx="4667529" cy="9657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square">
          <a:noAutofit/>
        </a:bodyPr>
        <a:lstStyle>
          <a:defPPr>
            <a:defRPr lang="en-US"/>
          </a:defPPr>
          <a:lvl1pPr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1pPr>
          <a:lvl2pPr marL="4572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2pPr>
          <a:lvl3pPr marL="9144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3pPr>
          <a:lvl4pPr marL="13716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4pPr>
          <a:lvl5pPr marL="1828800" algn="l" rtl="0" fontAlgn="base">
            <a:spcBef>
              <a:spcPct val="0"/>
            </a:spcBef>
            <a:spcAft>
              <a:spcPct val="0"/>
            </a:spcAft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5pPr>
          <a:lvl6pPr marL="22860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6pPr>
          <a:lvl7pPr marL="27432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7pPr>
          <a:lvl8pPr marL="32004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8pPr>
          <a:lvl9pPr marL="3657600" algn="l" defTabSz="914400" rtl="0" eaLnBrk="1" latinLnBrk="0" hangingPunct="1">
            <a:defRPr kern="1200">
              <a:solidFill>
                <a:schemeClr val="tx1"/>
              </a:solidFill>
              <a:latin typeface="Arial" charset="0"/>
              <a:ea typeface="+mn-ea"/>
              <a:cs typeface="Arial" charset="0"/>
            </a:defRPr>
          </a:lvl9pPr>
        </a:lstStyle>
        <a:p>
          <a:pPr algn="l"/>
          <a:r>
            <a:rPr lang="en-US" sz="1100" b="1">
              <a:latin typeface="Times New Roman" pitchFamily="18" charset="0"/>
              <a:cs typeface="Times New Roman" pitchFamily="18" charset="0"/>
            </a:rPr>
            <a:t>CÔNG</a:t>
          </a:r>
          <a:r>
            <a:rPr lang="en-US" sz="1100" b="1" baseline="0">
              <a:latin typeface="Times New Roman" pitchFamily="18" charset="0"/>
              <a:cs typeface="Times New Roman" pitchFamily="18" charset="0"/>
            </a:rPr>
            <a:t> TY TNHH DẦU NHỜN IDEMITSU VIỆT NAM</a:t>
          </a:r>
          <a:endParaRPr lang="en-US" sz="1100" b="1">
            <a:latin typeface="Times New Roman" pitchFamily="18" charset="0"/>
            <a:cs typeface="Times New Roman" pitchFamily="18" charset="0"/>
          </a:endParaRPr>
        </a:p>
        <a:p>
          <a:pPr algn="l"/>
          <a:r>
            <a:rPr lang="en-US" sz="1100" b="1">
              <a:latin typeface="Times New Roman" pitchFamily="18" charset="0"/>
              <a:cs typeface="Times New Roman" pitchFamily="18" charset="0"/>
            </a:rPr>
            <a:t>Idemitsu Lube Vietnam Co., Ltd</a:t>
          </a:r>
        </a:p>
        <a:p>
          <a:pPr algn="l"/>
          <a:endParaRPr lang="en-US" sz="1100" kern="1200">
            <a:solidFill>
              <a:schemeClr val="tx1"/>
            </a:solidFill>
            <a:latin typeface="Times New Roman" pitchFamily="18" charset="0"/>
            <a:ea typeface="+mn-ea"/>
            <a:cs typeface="Times New Roman" pitchFamily="18" charset="0"/>
          </a:endParaRPr>
        </a:p>
        <a:p>
          <a:pPr marL="0" marR="0" indent="0" algn="l" defTabSz="914400" rtl="0" eaLnBrk="1" fontAlgn="base" latinLnBrk="0" hangingPunct="1">
            <a:lnSpc>
              <a:spcPct val="100000"/>
            </a:lnSpc>
            <a:spcBef>
              <a:spcPct val="0"/>
            </a:spcBef>
            <a:spcAft>
              <a:spcPct val="0"/>
            </a:spcAft>
            <a:buClrTx/>
            <a:buSzTx/>
            <a:buFontTx/>
            <a:buNone/>
            <a:tabLst/>
            <a:defRPr/>
          </a:pPr>
          <a:r>
            <a:rPr lang="en-US" sz="1100" kern="1200">
              <a:solidFill>
                <a:schemeClr val="tx1"/>
              </a:solidFill>
              <a:latin typeface="Times New Roman" pitchFamily="18" charset="0"/>
              <a:ea typeface="+mn-ea"/>
              <a:cs typeface="Times New Roman" pitchFamily="18" charset="0"/>
            </a:rPr>
            <a:t>Địa chỉ: Khu đất CN5.2E KCN Đình Vũ, P. Đông</a:t>
          </a:r>
          <a:r>
            <a:rPr lang="en-US" sz="1100" kern="1200" baseline="0">
              <a:solidFill>
                <a:schemeClr val="tx1"/>
              </a:solidFill>
              <a:latin typeface="Times New Roman" pitchFamily="18" charset="0"/>
              <a:ea typeface="+mn-ea"/>
              <a:cs typeface="Times New Roman" pitchFamily="18" charset="0"/>
            </a:rPr>
            <a:t> Hải,</a:t>
          </a:r>
          <a:r>
            <a:rPr lang="en-US" sz="1100" kern="1200">
              <a:solidFill>
                <a:schemeClr val="tx1"/>
              </a:solidFill>
              <a:latin typeface="Times New Roman" pitchFamily="18" charset="0"/>
              <a:ea typeface="+mn-ea"/>
              <a:cs typeface="Times New Roman" pitchFamily="18" charset="0"/>
            </a:rPr>
            <a:t> TP.</a:t>
          </a:r>
          <a:r>
            <a:rPr lang="en-US" sz="1100" kern="1200" baseline="0">
              <a:solidFill>
                <a:schemeClr val="tx1"/>
              </a:solidFill>
              <a:latin typeface="Times New Roman" pitchFamily="18" charset="0"/>
              <a:ea typeface="+mn-ea"/>
              <a:cs typeface="Times New Roman" pitchFamily="18" charset="0"/>
            </a:rPr>
            <a:t> </a:t>
          </a:r>
          <a:r>
            <a:rPr lang="en-US" sz="1100" kern="1200">
              <a:solidFill>
                <a:schemeClr val="tx1"/>
              </a:solidFill>
              <a:latin typeface="Times New Roman" pitchFamily="18" charset="0"/>
              <a:ea typeface="+mn-ea"/>
              <a:cs typeface="Times New Roman" pitchFamily="18" charset="0"/>
            </a:rPr>
            <a:t>Hải Phòng</a:t>
          </a:r>
          <a:endParaRPr lang="vi-VN" sz="1100" kern="1200">
            <a:solidFill>
              <a:schemeClr val="tx1"/>
            </a:solidFill>
            <a:latin typeface="Times New Roman" pitchFamily="18" charset="0"/>
            <a:ea typeface="+mn-ea"/>
            <a:cs typeface="Times New Roman" pitchFamily="18" charset="0"/>
          </a:endParaRPr>
        </a:p>
        <a:p>
          <a:pPr algn="l"/>
          <a:r>
            <a:rPr lang="en-US" i="1" baseline="0">
              <a:latin typeface="Times New Roman" pitchFamily="18" charset="0"/>
              <a:cs typeface="Times New Roman" pitchFamily="18" charset="0"/>
            </a:rPr>
            <a:t>Điện thoại: 02253 246508          Fax: 0225 3246509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243840</xdr:colOff>
          <xdr:row>20</xdr:row>
          <xdr:rowOff>68580</xdr:rowOff>
        </xdr:from>
        <xdr:to>
          <xdr:col>5</xdr:col>
          <xdr:colOff>205740</xdr:colOff>
          <xdr:row>21</xdr:row>
          <xdr:rowOff>173355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8CEC2772-D523-4280-A707-EE3DC061601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Cash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243840</xdr:colOff>
          <xdr:row>21</xdr:row>
          <xdr:rowOff>167640</xdr:rowOff>
        </xdr:from>
        <xdr:to>
          <xdr:col>5</xdr:col>
          <xdr:colOff>152400</xdr:colOff>
          <xdr:row>22</xdr:row>
          <xdr:rowOff>114300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DAC50FB1-3557-4882-8D57-7C5E20533F1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Bank</a:t>
              </a:r>
            </a:p>
          </xdr:txBody>
        </xdr:sp>
        <xdr:clientData/>
      </xdr:twoCellAnchor>
    </mc:Choice>
    <mc:Fallback/>
  </mc:AlternateContent>
  <xdr:twoCellAnchor editAs="oneCell">
    <xdr:from>
      <xdr:col>0</xdr:col>
      <xdr:colOff>104775</xdr:colOff>
      <xdr:row>0</xdr:row>
      <xdr:rowOff>57150</xdr:rowOff>
    </xdr:from>
    <xdr:to>
      <xdr:col>1</xdr:col>
      <xdr:colOff>609600</xdr:colOff>
      <xdr:row>0</xdr:row>
      <xdr:rowOff>1126504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6132B50-082E-442A-971B-619A9B695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2870" y="53340"/>
          <a:ext cx="1135380" cy="1080784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</xdr:colOff>
          <xdr:row>28</xdr:row>
          <xdr:rowOff>116913</xdr:rowOff>
        </xdr:from>
        <xdr:to>
          <xdr:col>8</xdr:col>
          <xdr:colOff>1100668</xdr:colOff>
          <xdr:row>35</xdr:row>
          <xdr:rowOff>21662</xdr:rowOff>
        </xdr:to>
        <xdr:pic>
          <xdr:nvPicPr>
            <xdr:cNvPr id="4" name="Picture 3">
              <a:extLst>
                <a:ext uri="{FF2B5EF4-FFF2-40B4-BE49-F238E27FC236}">
                  <a16:creationId xmlns:a16="http://schemas.microsoft.com/office/drawing/2014/main" id="{32B6DEBD-880B-44C1-B0EA-FE0D6BA016E4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K$46:$Q$52" spid="_x0000_s1029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1" y="9461996"/>
              <a:ext cx="7588250" cy="1756833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14.%20Public/17.%20C&#244;ng%20&#273;o&#224;n/2026/Thanh%20toan%20cong%20doan.xlsx" TargetMode="External"/><Relationship Id="rId2" Type="http://schemas.openxmlformats.org/officeDocument/2006/relationships/externalLinkPath" Target="file:///D:\Box\14.%20Public\17.%20C&#244;ng%20&#273;o&#224;n\2026\Thanh%20toan%20cong%20doan.xlsx" TargetMode="External"/><Relationship Id="rId1" Type="http://schemas.openxmlformats.org/officeDocument/2006/relationships/externalLinkPath" Target="/Box/14.%20Public/17.%20C&#244;ng%20&#273;o&#224;n/2026/Thanh%20toan%20cong%20doa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e nghi thanh toan"/>
      <sheetName val="Thanh toan Cong Doan"/>
      <sheetName val="Phieu Tham Hoi"/>
      <sheetName val="Phieu Tham Hoi (2)"/>
      <sheetName val="Data"/>
      <sheetName val="Bank Number"/>
      <sheetName val="Instruction"/>
      <sheetName val="01.PO (New form)"/>
      <sheetName val="02.Purchasing Plan"/>
      <sheetName val="03.Advance cash"/>
      <sheetName val="04.Estimate for advance "/>
      <sheetName val="05.Reimbursement "/>
      <sheetName val="06.General Expense "/>
      <sheetName val="07.Travel Expense "/>
      <sheetName val="08.Sales promotion budget"/>
      <sheetName val="09.Estimate Cost"/>
      <sheetName val="10.Comparison seminar"/>
      <sheetName val="11. PR "/>
    </sheetNames>
    <sheetDataSet>
      <sheetData sheetId="0"/>
      <sheetData sheetId="1"/>
      <sheetData sheetId="2"/>
      <sheetData sheetId="3"/>
      <sheetData sheetId="4">
        <row r="118">
          <cell r="J118" t="str">
            <v>VCB</v>
          </cell>
        </row>
        <row r="121">
          <cell r="H121" t="str">
            <v>1029176277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mments" Target="../comments1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A35D7-62BE-4387-893A-E9B0FCEEAAE6}">
  <sheetPr>
    <tabColor rgb="FF00B050"/>
  </sheetPr>
  <dimension ref="A1:S52"/>
  <sheetViews>
    <sheetView showGridLines="0" tabSelected="1" view="pageBreakPreview" zoomScale="90" zoomScaleNormal="85" zoomScaleSheetLayoutView="90" workbookViewId="0">
      <selection activeCell="J29" sqref="J29"/>
    </sheetView>
  </sheetViews>
  <sheetFormatPr defaultColWidth="9.21875" defaultRowHeight="14.4"/>
  <cols>
    <col min="1" max="1" width="9.21875" style="2" customWidth="1"/>
    <col min="2" max="2" width="18.21875" style="2" customWidth="1"/>
    <col min="3" max="3" width="2.44140625" style="2" customWidth="1"/>
    <col min="4" max="4" width="16.44140625" style="2" customWidth="1"/>
    <col min="5" max="5" width="8.77734375" style="2" customWidth="1"/>
    <col min="6" max="6" width="19.77734375" style="2" customWidth="1"/>
    <col min="7" max="7" width="2.21875" style="2" customWidth="1"/>
    <col min="8" max="8" width="17.77734375" style="2" customWidth="1"/>
    <col min="9" max="9" width="18" style="2" customWidth="1"/>
    <col min="10" max="10" width="17.21875" style="2" customWidth="1"/>
    <col min="11" max="13" width="19.21875" style="2" customWidth="1"/>
    <col min="14" max="14" width="2.21875" style="2" customWidth="1"/>
    <col min="15" max="17" width="19.21875" style="2" customWidth="1"/>
    <col min="18" max="18" width="9.77734375" style="2" customWidth="1"/>
    <col min="19" max="19" width="11" style="2" customWidth="1"/>
    <col min="20" max="16384" width="9.21875" style="2"/>
  </cols>
  <sheetData>
    <row r="1" spans="1:12" ht="93" customHeight="1">
      <c r="A1" s="1"/>
      <c r="B1" s="1"/>
      <c r="C1" s="1"/>
      <c r="D1" s="1"/>
      <c r="E1" s="1"/>
      <c r="F1" s="1"/>
      <c r="G1" s="1"/>
      <c r="H1" s="1"/>
      <c r="I1" s="1"/>
    </row>
    <row r="2" spans="1:12" s="5" customFormat="1" ht="49.5" customHeight="1">
      <c r="A2" s="3" t="s">
        <v>0</v>
      </c>
      <c r="B2" s="4"/>
      <c r="C2" s="4"/>
      <c r="D2" s="4"/>
      <c r="E2" s="4"/>
      <c r="F2" s="4"/>
      <c r="G2" s="4"/>
      <c r="H2" s="4"/>
      <c r="I2" s="4"/>
      <c r="K2" s="6"/>
      <c r="L2" s="7"/>
    </row>
    <row r="3" spans="1:12" s="8" customFormat="1" ht="9" customHeight="1"/>
    <row r="4" spans="1:12" s="8" customFormat="1" ht="18" customHeight="1">
      <c r="A4" s="9" t="s">
        <v>1</v>
      </c>
      <c r="B4" s="10"/>
      <c r="C4" s="10" t="s">
        <v>2</v>
      </c>
      <c r="D4" s="11">
        <f ca="1">NOW()</f>
        <v>46316.602584953704</v>
      </c>
      <c r="E4" s="11"/>
      <c r="F4" s="12"/>
      <c r="H4" s="13"/>
      <c r="I4" s="13"/>
    </row>
    <row r="5" spans="1:12" s="8" customFormat="1" ht="18" customHeight="1">
      <c r="A5" s="9" t="s">
        <v>3</v>
      </c>
      <c r="B5" s="10"/>
      <c r="C5" s="10" t="s">
        <v>2</v>
      </c>
      <c r="D5" s="14" t="s">
        <v>4</v>
      </c>
      <c r="E5" s="15"/>
      <c r="F5" s="16"/>
      <c r="H5" s="17" t="s">
        <v>5</v>
      </c>
      <c r="I5" s="17"/>
    </row>
    <row r="6" spans="1:12" s="8" customFormat="1" ht="18" customHeight="1">
      <c r="A6" s="9" t="s">
        <v>6</v>
      </c>
      <c r="B6" s="10"/>
      <c r="C6" s="10" t="s">
        <v>2</v>
      </c>
      <c r="D6" s="18" t="s">
        <v>7</v>
      </c>
      <c r="E6" s="15"/>
      <c r="F6" s="16"/>
      <c r="H6" s="9"/>
    </row>
    <row r="7" spans="1:12" s="8" customFormat="1" ht="18" customHeight="1">
      <c r="A7" s="9"/>
      <c r="B7" s="10"/>
      <c r="C7" s="10"/>
      <c r="D7" s="19"/>
      <c r="E7" s="16"/>
      <c r="F7" s="16"/>
    </row>
    <row r="8" spans="1:12" s="8" customFormat="1" ht="16.5" customHeight="1">
      <c r="A8" s="20" t="s">
        <v>8</v>
      </c>
      <c r="H8" s="21"/>
      <c r="I8" s="22" t="s">
        <v>9</v>
      </c>
    </row>
    <row r="9" spans="1:12" s="8" customFormat="1" ht="14.25" customHeight="1">
      <c r="A9" s="23" t="s">
        <v>10</v>
      </c>
      <c r="B9" s="24" t="s">
        <v>11</v>
      </c>
      <c r="C9" s="25"/>
      <c r="D9" s="25"/>
      <c r="E9" s="25"/>
      <c r="F9" s="25"/>
      <c r="G9" s="25"/>
      <c r="H9" s="25"/>
      <c r="I9" s="25"/>
    </row>
    <row r="10" spans="1:12" s="8" customFormat="1" ht="11.25" customHeight="1">
      <c r="A10" s="26"/>
      <c r="B10" s="27"/>
      <c r="C10" s="28"/>
      <c r="D10" s="28"/>
      <c r="E10" s="28"/>
      <c r="F10" s="28"/>
      <c r="G10" s="28"/>
      <c r="H10" s="28"/>
      <c r="I10" s="28"/>
    </row>
    <row r="11" spans="1:12" s="8" customFormat="1" ht="53.25" customHeight="1">
      <c r="A11" s="29"/>
      <c r="B11" s="30" t="s">
        <v>12</v>
      </c>
      <c r="C11" s="30"/>
      <c r="D11" s="30"/>
      <c r="E11" s="30"/>
      <c r="F11" s="31" t="s">
        <v>13</v>
      </c>
      <c r="G11" s="32"/>
      <c r="H11" s="33" t="s">
        <v>14</v>
      </c>
      <c r="I11" s="33" t="s">
        <v>15</v>
      </c>
    </row>
    <row r="12" spans="1:12" s="5" customFormat="1" ht="32.4" customHeight="1">
      <c r="A12" s="34">
        <v>1</v>
      </c>
      <c r="B12" s="35"/>
      <c r="C12" s="36"/>
      <c r="D12" s="36"/>
      <c r="E12" s="37"/>
      <c r="F12" s="38"/>
      <c r="G12" s="39"/>
      <c r="H12" s="40"/>
      <c r="I12" s="41"/>
    </row>
    <row r="13" spans="1:12" s="5" customFormat="1" ht="31.5" customHeight="1">
      <c r="A13" s="42"/>
      <c r="B13" s="43"/>
      <c r="C13" s="43"/>
      <c r="D13" s="43"/>
      <c r="E13" s="43"/>
      <c r="F13" s="44"/>
      <c r="G13" s="45"/>
      <c r="H13" s="41"/>
      <c r="I13" s="46"/>
    </row>
    <row r="14" spans="1:12" s="5" customFormat="1" ht="31.5" customHeight="1">
      <c r="A14" s="42"/>
      <c r="B14" s="43"/>
      <c r="C14" s="43"/>
      <c r="D14" s="43"/>
      <c r="E14" s="43"/>
      <c r="F14" s="44"/>
      <c r="G14" s="45"/>
      <c r="H14" s="41"/>
      <c r="I14" s="46"/>
    </row>
    <row r="15" spans="1:12" s="5" customFormat="1" ht="31.5" customHeight="1">
      <c r="A15" s="42"/>
      <c r="B15" s="43"/>
      <c r="C15" s="43"/>
      <c r="D15" s="43"/>
      <c r="E15" s="43"/>
      <c r="F15" s="44"/>
      <c r="G15" s="45"/>
      <c r="H15" s="41"/>
      <c r="I15" s="46"/>
    </row>
    <row r="16" spans="1:12" s="5" customFormat="1" ht="31.5" customHeight="1">
      <c r="A16" s="47"/>
      <c r="B16" s="48"/>
      <c r="C16" s="48"/>
      <c r="D16" s="48"/>
      <c r="E16" s="48"/>
      <c r="F16" s="49"/>
      <c r="G16" s="50"/>
      <c r="H16" s="51"/>
      <c r="I16" s="52"/>
    </row>
    <row r="17" spans="1:19" s="5" customFormat="1" ht="30.75" customHeight="1">
      <c r="A17" s="53" t="s">
        <v>16</v>
      </c>
      <c r="B17" s="54"/>
      <c r="C17" s="54"/>
      <c r="D17" s="54"/>
      <c r="E17" s="54"/>
      <c r="F17" s="54"/>
      <c r="G17" s="55"/>
      <c r="H17" s="56">
        <f>SUM(H12:H16)</f>
        <v>0</v>
      </c>
      <c r="I17" s="56">
        <f>SUM(I12:I16)</f>
        <v>0</v>
      </c>
    </row>
    <row r="18" spans="1:19" s="5" customFormat="1" ht="30.75" customHeight="1">
      <c r="A18" s="57" t="s">
        <v>17</v>
      </c>
      <c r="B18" s="58"/>
      <c r="C18" s="58"/>
      <c r="D18" s="58"/>
      <c r="E18" s="58"/>
      <c r="F18" s="58"/>
      <c r="G18" s="59"/>
      <c r="H18" s="60">
        <f>+H17-I17</f>
        <v>0</v>
      </c>
      <c r="I18" s="61"/>
    </row>
    <row r="19" spans="1:19" s="5" customFormat="1" ht="30.75" customHeight="1">
      <c r="A19" s="57" t="s">
        <v>18</v>
      </c>
      <c r="B19" s="58"/>
      <c r="C19" s="58"/>
      <c r="D19" s="58"/>
      <c r="E19" s="58"/>
      <c r="F19" s="58"/>
      <c r="G19" s="59"/>
      <c r="H19" s="62" t="str">
        <f>IF(SUM(-$H$17+$I$17)&gt;0,-$H$17+$I$17,"")</f>
        <v/>
      </c>
      <c r="I19" s="63"/>
    </row>
    <row r="20" spans="1:19" s="5" customFormat="1" ht="14.25" customHeight="1">
      <c r="A20" s="64"/>
      <c r="B20" s="65"/>
      <c r="C20" s="65"/>
      <c r="D20" s="65"/>
      <c r="E20" s="65"/>
      <c r="F20" s="65"/>
      <c r="G20" s="65"/>
      <c r="H20" s="66"/>
      <c r="I20" s="66"/>
    </row>
    <row r="21" spans="1:19" s="8" customFormat="1" ht="21.75" customHeight="1">
      <c r="A21" s="67" t="s">
        <v>19</v>
      </c>
      <c r="B21" s="68"/>
      <c r="C21" s="68"/>
      <c r="D21" s="69"/>
      <c r="E21" s="70"/>
      <c r="F21" s="71"/>
      <c r="G21" s="69"/>
      <c r="H21" s="72" t="s">
        <v>20</v>
      </c>
      <c r="I21" s="73"/>
      <c r="K21" s="74"/>
      <c r="L21" s="74"/>
    </row>
    <row r="22" spans="1:19" s="8" customFormat="1" ht="21.75" customHeight="1">
      <c r="A22" s="75" t="s">
        <v>21</v>
      </c>
      <c r="D22" s="76"/>
      <c r="E22" s="77"/>
      <c r="G22" s="76"/>
      <c r="H22" s="78" t="s">
        <v>22</v>
      </c>
      <c r="I22" s="76"/>
    </row>
    <row r="23" spans="1:19" s="8" customFormat="1" ht="16.5" customHeight="1">
      <c r="A23" s="79"/>
      <c r="B23" s="21"/>
      <c r="C23" s="21"/>
      <c r="D23" s="80"/>
      <c r="E23" s="81"/>
      <c r="F23" s="21"/>
      <c r="G23" s="80"/>
      <c r="H23" s="81"/>
      <c r="I23" s="80"/>
    </row>
    <row r="24" spans="1:19" s="8" customFormat="1" ht="34.049999999999997" customHeight="1">
      <c r="A24" s="82" t="s">
        <v>23</v>
      </c>
      <c r="B24" s="68"/>
      <c r="C24" s="68"/>
      <c r="D24" s="69"/>
      <c r="E24" s="83" t="s">
        <v>24</v>
      </c>
      <c r="F24" s="84"/>
      <c r="G24" s="8" t="s">
        <v>2</v>
      </c>
      <c r="H24" s="85">
        <f>F12</f>
        <v>0</v>
      </c>
      <c r="I24" s="86"/>
    </row>
    <row r="25" spans="1:19" s="8" customFormat="1" ht="21" customHeight="1">
      <c r="A25" s="87" t="s">
        <v>25</v>
      </c>
      <c r="B25" s="88"/>
      <c r="C25" s="88"/>
      <c r="D25" s="76"/>
      <c r="E25" s="89" t="s">
        <v>26</v>
      </c>
      <c r="F25" s="90"/>
      <c r="G25" s="8" t="s">
        <v>2</v>
      </c>
      <c r="H25" s="91" t="str">
        <f>[1]Data!H121</f>
        <v>1029176277</v>
      </c>
      <c r="I25" s="92"/>
      <c r="J25" s="93"/>
    </row>
    <row r="26" spans="1:19" s="8" customFormat="1" ht="21" customHeight="1">
      <c r="A26" s="77"/>
      <c r="D26" s="76"/>
      <c r="E26" s="89" t="s">
        <v>27</v>
      </c>
      <c r="F26" s="90"/>
      <c r="G26" s="8" t="s">
        <v>2</v>
      </c>
      <c r="H26" s="8" t="str">
        <f>[1]Data!J118</f>
        <v>VCB</v>
      </c>
      <c r="I26" s="76"/>
    </row>
    <row r="27" spans="1:19" s="8" customFormat="1" ht="9" customHeight="1">
      <c r="A27" s="81"/>
      <c r="B27" s="21"/>
      <c r="C27" s="21"/>
      <c r="D27" s="80"/>
      <c r="E27" s="94"/>
      <c r="F27" s="94"/>
      <c r="G27" s="21"/>
      <c r="H27" s="21"/>
      <c r="I27" s="80"/>
      <c r="R27" s="95"/>
      <c r="S27" s="95"/>
    </row>
    <row r="28" spans="1:19" ht="8.25" customHeight="1">
      <c r="R28" s="96"/>
      <c r="S28" s="96"/>
    </row>
    <row r="29" spans="1:19" ht="14.25" customHeight="1">
      <c r="R29" s="97"/>
      <c r="S29" s="97"/>
    </row>
    <row r="30" spans="1:19" ht="15.75" customHeight="1">
      <c r="R30" s="97"/>
      <c r="S30" s="97"/>
    </row>
    <row r="31" spans="1:19" ht="41.25" customHeight="1">
      <c r="R31" s="97"/>
      <c r="S31" s="97"/>
    </row>
    <row r="32" spans="1:19" ht="35.25" customHeight="1">
      <c r="R32" s="97"/>
      <c r="S32" s="97"/>
    </row>
    <row r="33" spans="1:17">
      <c r="A33" s="98"/>
      <c r="E33" s="98"/>
      <c r="F33" s="98"/>
      <c r="G33" s="98"/>
      <c r="H33" s="98"/>
      <c r="K33" s="99"/>
      <c r="L33" s="99"/>
      <c r="M33" s="99"/>
    </row>
    <row r="34" spans="1:17">
      <c r="K34" s="100"/>
      <c r="L34" s="101"/>
      <c r="M34" s="101"/>
    </row>
    <row r="35" spans="1:17" ht="14.25" customHeight="1">
      <c r="B35" s="102"/>
    </row>
    <row r="36" spans="1:17" ht="16.5" customHeight="1">
      <c r="A36" s="103"/>
      <c r="B36" s="102"/>
    </row>
    <row r="37" spans="1:17">
      <c r="A37" s="104"/>
      <c r="B37" s="104"/>
    </row>
    <row r="38" spans="1:17">
      <c r="A38" s="104"/>
      <c r="B38" s="104"/>
    </row>
    <row r="39" spans="1:17" hidden="1">
      <c r="A39" s="104"/>
      <c r="B39" s="104"/>
    </row>
    <row r="40" spans="1:17" hidden="1">
      <c r="A40" s="104"/>
      <c r="B40" s="105"/>
    </row>
    <row r="41" spans="1:17">
      <c r="A41" s="104"/>
    </row>
    <row r="42" spans="1:17">
      <c r="A42" s="104"/>
    </row>
    <row r="46" spans="1:17">
      <c r="K46" s="106"/>
      <c r="O46" s="106"/>
      <c r="P46" s="106"/>
    </row>
    <row r="47" spans="1:17">
      <c r="K47" s="107"/>
      <c r="L47" s="107"/>
      <c r="M47" s="107"/>
      <c r="O47" s="108" t="s">
        <v>28</v>
      </c>
      <c r="P47" s="108" t="s">
        <v>29</v>
      </c>
      <c r="Q47" s="108" t="s">
        <v>30</v>
      </c>
    </row>
    <row r="48" spans="1:17" ht="20.25" customHeight="1">
      <c r="K48" s="109"/>
      <c r="L48" s="109"/>
      <c r="M48" s="110"/>
      <c r="O48" s="111"/>
      <c r="P48" s="112"/>
      <c r="Q48" s="112"/>
    </row>
    <row r="49" spans="11:17">
      <c r="K49" s="97"/>
      <c r="L49" s="97"/>
      <c r="M49" s="97"/>
      <c r="O49" s="113" t="s">
        <v>4</v>
      </c>
      <c r="P49" s="113" t="s">
        <v>31</v>
      </c>
      <c r="Q49" s="113" t="s">
        <v>32</v>
      </c>
    </row>
    <row r="50" spans="11:17">
      <c r="K50" s="97"/>
      <c r="L50" s="97"/>
      <c r="M50" s="97"/>
      <c r="O50" s="114"/>
      <c r="P50" s="114"/>
      <c r="Q50" s="114"/>
    </row>
    <row r="51" spans="11:17" ht="48" customHeight="1">
      <c r="K51" s="97"/>
      <c r="L51" s="97"/>
      <c r="M51" s="97"/>
      <c r="O51" s="114"/>
      <c r="P51" s="114"/>
      <c r="Q51" s="114"/>
    </row>
    <row r="52" spans="11:17">
      <c r="K52" s="97"/>
      <c r="L52" s="97"/>
      <c r="M52" s="97"/>
      <c r="O52" s="115"/>
      <c r="P52" s="115"/>
      <c r="Q52" s="115"/>
    </row>
  </sheetData>
  <mergeCells count="38">
    <mergeCell ref="K49:K52"/>
    <mergeCell ref="L49:L52"/>
    <mergeCell ref="M49:M52"/>
    <mergeCell ref="O49:O52"/>
    <mergeCell ref="P49:P52"/>
    <mergeCell ref="Q49:Q52"/>
    <mergeCell ref="E26:F26"/>
    <mergeCell ref="R27:S27"/>
    <mergeCell ref="R28:S28"/>
    <mergeCell ref="R29:S32"/>
    <mergeCell ref="O47:O48"/>
    <mergeCell ref="P47:P48"/>
    <mergeCell ref="Q47:Q48"/>
    <mergeCell ref="H18:I18"/>
    <mergeCell ref="A19:G19"/>
    <mergeCell ref="H19:I19"/>
    <mergeCell ref="E24:F24"/>
    <mergeCell ref="H24:I24"/>
    <mergeCell ref="E25:F25"/>
    <mergeCell ref="B15:E15"/>
    <mergeCell ref="F15:G15"/>
    <mergeCell ref="B16:E16"/>
    <mergeCell ref="F16:G16"/>
    <mergeCell ref="A17:G17"/>
    <mergeCell ref="A18:G18"/>
    <mergeCell ref="B12:E12"/>
    <mergeCell ref="F12:G12"/>
    <mergeCell ref="B13:E13"/>
    <mergeCell ref="F13:G13"/>
    <mergeCell ref="B14:E14"/>
    <mergeCell ref="F14:G14"/>
    <mergeCell ref="A1:I1"/>
    <mergeCell ref="A2:I2"/>
    <mergeCell ref="D4:E4"/>
    <mergeCell ref="A9:A11"/>
    <mergeCell ref="B9:I10"/>
    <mergeCell ref="B11:E11"/>
    <mergeCell ref="F11:G11"/>
  </mergeCells>
  <pageMargins left="0.5" right="0.15748031496063" top="0.18306977252843401" bottom="0.25" header="0.31496062992126" footer="0.27558945756780401"/>
  <pageSetup paperSize="9" scale="80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4</xdr:col>
                    <xdr:colOff>243840</xdr:colOff>
                    <xdr:row>20</xdr:row>
                    <xdr:rowOff>68580</xdr:rowOff>
                  </from>
                  <to>
                    <xdr:col>5</xdr:col>
                    <xdr:colOff>213360</xdr:colOff>
                    <xdr:row>21</xdr:row>
                    <xdr:rowOff>182880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4</xdr:col>
                    <xdr:colOff>243840</xdr:colOff>
                    <xdr:row>21</xdr:row>
                    <xdr:rowOff>167640</xdr:rowOff>
                  </from>
                  <to>
                    <xdr:col>5</xdr:col>
                    <xdr:colOff>152400</xdr:colOff>
                    <xdr:row>22</xdr:row>
                    <xdr:rowOff>114300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316651CA3A63DF4DA3D47EE39ADEA911" ma:contentTypeVersion="16" ma:contentTypeDescription="新しいドキュメントを作成します。" ma:contentTypeScope="" ma:versionID="f7c48e33a7c9ecff299972b780a0dce0">
  <xsd:schema xmlns:xsd="http://www.w3.org/2001/XMLSchema" xmlns:xs="http://www.w3.org/2001/XMLSchema" xmlns:p="http://schemas.microsoft.com/office/2006/metadata/properties" xmlns:ns3="7a067d58-c2d4-42d8-8837-56398f82a6f7" xmlns:ns4="1194151f-5ba0-4978-8885-48ecd7978abc" targetNamespace="http://schemas.microsoft.com/office/2006/metadata/properties" ma:root="true" ma:fieldsID="d99512587f3baef28c414e7d0d4936bf" ns3:_="" ns4:_="">
    <xsd:import namespace="7a067d58-c2d4-42d8-8837-56398f82a6f7"/>
    <xsd:import namespace="1194151f-5ba0-4978-8885-48ecd7978abc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Location" minOccurs="0"/>
                <xsd:element ref="ns4:_activity" minOccurs="0"/>
                <xsd:element ref="ns4:MediaServiceObjectDetectorVersions" minOccurs="0"/>
                <xsd:element ref="ns4:MediaServiceSearchProperties" minOccurs="0"/>
                <xsd:element ref="ns4:MediaServiceSystemTags" minOccurs="0"/>
                <xsd:element ref="ns4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067d58-c2d4-42d8-8837-56398f82a6f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共有のヒントのハッシュ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94151f-5ba0-4978-8885-48ecd7978a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194151f-5ba0-4978-8885-48ecd7978abc" xsi:nil="true"/>
  </documentManagement>
</p:properties>
</file>

<file path=customXml/itemProps1.xml><?xml version="1.0" encoding="utf-8"?>
<ds:datastoreItem xmlns:ds="http://schemas.openxmlformats.org/officeDocument/2006/customXml" ds:itemID="{B5E3A6B0-A011-480C-A810-4DF603921C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a067d58-c2d4-42d8-8837-56398f82a6f7"/>
    <ds:schemaRef ds:uri="1194151f-5ba0-4978-8885-48ecd7978ab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FA04AA4-4270-47BE-9EFA-02E00181949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07605C6-B5E3-4BCE-B15A-012F4D10848F}">
  <ds:schemaRefs>
    <ds:schemaRef ds:uri="http://purl.org/dc/terms/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www.w3.org/XML/1998/namespace"/>
    <ds:schemaRef ds:uri="http://schemas.microsoft.com/office/2006/documentManagement/types"/>
    <ds:schemaRef ds:uri="1194151f-5ba0-4978-8885-48ecd7978abc"/>
    <ds:schemaRef ds:uri="7a067d58-c2d4-42d8-8837-56398f82a6f7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Thanh toan Cong Doan</vt:lpstr>
      <vt:lpstr>'Thanh toan Cong Doan'!Print_Area</vt:lpstr>
    </vt:vector>
  </TitlesOfParts>
  <Company>IdemitsuKosan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Thang</dc:creator>
  <cp:lastModifiedBy>Pham Thang</cp:lastModifiedBy>
  <dcterms:created xsi:type="dcterms:W3CDTF">2026-10-21T07:27:21Z</dcterms:created>
  <dcterms:modified xsi:type="dcterms:W3CDTF">2026-10-21T07:29:10Z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0x010100316651CA3A63DF4DA3D47EE39ADEA911</vt:lpwstr>
  </property>
</Properties>
</file>